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ab\Documents\Capstone\BLDC-motor-custom-inverter\docs\"/>
    </mc:Choice>
  </mc:AlternateContent>
  <xr:revisionPtr revIDLastSave="0" documentId="8_{C573F60E-AEF3-4534-BA56-232C2BFE2C1E}" xr6:coauthVersionLast="47" xr6:coauthVersionMax="47" xr10:uidLastSave="{00000000-0000-0000-0000-000000000000}"/>
  <bookViews>
    <workbookView xWindow="-120" yWindow="-120" windowWidth="29040" windowHeight="15720" xr2:uid="{C971D06C-E259-4FFC-9A83-0B305F503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2" i="1" s="1"/>
  <c r="I11" i="1"/>
  <c r="I5" i="1"/>
</calcChain>
</file>

<file path=xl/sharedStrings.xml><?xml version="1.0" encoding="utf-8"?>
<sst xmlns="http://schemas.openxmlformats.org/spreadsheetml/2006/main" count="23" uniqueCount="22">
  <si>
    <t>Quantity</t>
  </si>
  <si>
    <t>ADC conditioning</t>
  </si>
  <si>
    <t>INA181</t>
  </si>
  <si>
    <t>-</t>
  </si>
  <si>
    <t>LMV321</t>
  </si>
  <si>
    <t>OCP comparator</t>
  </si>
  <si>
    <t>TL331</t>
  </si>
  <si>
    <t>Auxillary Supply Current Requisition</t>
  </si>
  <si>
    <t>Microcontroller</t>
  </si>
  <si>
    <t>Part</t>
  </si>
  <si>
    <t>IC/SKU/Model</t>
  </si>
  <si>
    <t>STM32F4/G4</t>
  </si>
  <si>
    <t>Current Draw (mA)</t>
  </si>
  <si>
    <t>Subtotal Current (mA)</t>
  </si>
  <si>
    <t>Voltage Divider for buffer</t>
  </si>
  <si>
    <t>voltage buffer</t>
  </si>
  <si>
    <t>Voltage Divider for OCP</t>
  </si>
  <si>
    <t>Position Sensor/Encoder</t>
  </si>
  <si>
    <t>AS5048A</t>
  </si>
  <si>
    <t>Voltage Rail</t>
  </si>
  <si>
    <t>5v to 3.3 step down LDO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</si>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</sst>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4711-46A6-4B76-A063-97E9A081E738}">
  <dimension ref="D3:I16"/>
  <sheetViews>
    <sheetView tabSelected="1" topLeftCell="C1" zoomScale="160" zoomScaleNormal="160" workbookViewId="0">
      <selection activeCell="K13" sqref="K13"/>
    </sheetView>
  </sheetViews>
  <sheetFormatPr defaultRowHeight="15" x14ac:dyDescent="0.25"/>
  <cols>
    <col min="4" max="4" width="22.5703125" customWidth="1"/>
    <col min="5" max="5" width="13.140625" bestFit="1" customWidth="1"/>
    <col min="6" max="6" width="16.85546875" customWidth="1"/>
    <col min="7" max="7" width="21.85546875" customWidth="1"/>
    <col min="8" max="8" width="10.5703125" customWidth="1"/>
    <col min="9" max="9" width="19.85546875" customWidth="1"/>
  </cols>
  <sheetData>
    <row r="3" spans="4:9" x14ac:dyDescent="0.25">
      <c r="D3" s="1" t="s">
        <v>7</v>
      </c>
      <c r="E3" s="1"/>
      <c r="F3" s="1"/>
      <c r="G3" s="1"/>
      <c r="H3" s="1"/>
      <c r="I3" s="1"/>
    </row>
    <row r="4" spans="4:9" x14ac:dyDescent="0.25">
      <c r="D4" t="s">
        <v>9</v>
      </c>
      <c r="E4" t="s">
        <v>10</v>
      </c>
      <c r="F4" t="s">
        <v>19</v>
      </c>
      <c r="G4" t="s">
        <v>12</v>
      </c>
      <c r="H4" t="s">
        <v>0</v>
      </c>
      <c r="I4" t="s">
        <v>13</v>
      </c>
    </row>
    <row r="5" spans="4:9" x14ac:dyDescent="0.25">
      <c r="D5" t="s">
        <v>1</v>
      </c>
      <c r="E5" t="s">
        <v>2</v>
      </c>
      <c r="F5">
        <v>3.3</v>
      </c>
      <c r="G5">
        <v>0.26</v>
      </c>
      <c r="H5">
        <v>3</v>
      </c>
      <c r="I5">
        <f>G5*H5</f>
        <v>0.78</v>
      </c>
    </row>
    <row r="6" spans="4:9" x14ac:dyDescent="0.25">
      <c r="D6" t="s">
        <v>16</v>
      </c>
      <c r="E6" t="s">
        <v>3</v>
      </c>
      <c r="F6">
        <v>3.3</v>
      </c>
      <c r="G6">
        <v>9.0999999999999998E-2</v>
      </c>
      <c r="H6">
        <v>1</v>
      </c>
      <c r="I6">
        <f t="shared" ref="I6:I11" si="0">G6*H6</f>
        <v>9.0999999999999998E-2</v>
      </c>
    </row>
    <row r="7" spans="4:9" x14ac:dyDescent="0.25">
      <c r="D7" t="s">
        <v>14</v>
      </c>
      <c r="E7" t="s">
        <v>3</v>
      </c>
      <c r="F7">
        <v>3.3</v>
      </c>
      <c r="G7">
        <v>0.16500000000000001</v>
      </c>
      <c r="H7">
        <v>1</v>
      </c>
      <c r="I7">
        <f t="shared" si="0"/>
        <v>0.16500000000000001</v>
      </c>
    </row>
    <row r="8" spans="4:9" x14ac:dyDescent="0.25">
      <c r="D8" t="s">
        <v>15</v>
      </c>
      <c r="E8" t="s">
        <v>4</v>
      </c>
      <c r="F8">
        <v>3.3</v>
      </c>
      <c r="G8">
        <v>0.13</v>
      </c>
      <c r="H8">
        <v>1</v>
      </c>
      <c r="I8">
        <f t="shared" si="0"/>
        <v>0.13</v>
      </c>
    </row>
    <row r="9" spans="4:9" x14ac:dyDescent="0.25">
      <c r="D9" t="s">
        <v>5</v>
      </c>
      <c r="E9" t="s">
        <v>6</v>
      </c>
      <c r="F9">
        <v>3.3</v>
      </c>
      <c r="G9">
        <v>0.05</v>
      </c>
      <c r="H9">
        <v>3</v>
      </c>
      <c r="I9">
        <f t="shared" si="0"/>
        <v>0.15000000000000002</v>
      </c>
    </row>
    <row r="10" spans="4:9" x14ac:dyDescent="0.25">
      <c r="D10" t="s">
        <v>8</v>
      </c>
      <c r="E10" t="s">
        <v>11</v>
      </c>
      <c r="F10">
        <v>3.3</v>
      </c>
      <c r="G10">
        <v>160</v>
      </c>
      <c r="H10">
        <v>1</v>
      </c>
      <c r="I10">
        <f t="shared" si="0"/>
        <v>160</v>
      </c>
    </row>
    <row r="11" spans="4:9" x14ac:dyDescent="0.25">
      <c r="D11" t="s">
        <v>17</v>
      </c>
      <c r="E11" t="s">
        <v>18</v>
      </c>
      <c r="F11">
        <v>3.3</v>
      </c>
      <c r="G11">
        <v>15</v>
      </c>
      <c r="H11">
        <v>1</v>
      </c>
      <c r="I11">
        <f t="shared" si="0"/>
        <v>15</v>
      </c>
    </row>
    <row r="12" spans="4:9" x14ac:dyDescent="0.25">
      <c r="D12" t="s">
        <v>21</v>
      </c>
      <c r="I12">
        <f>SUM(I5:I11)</f>
        <v>176.316</v>
      </c>
    </row>
    <row r="16" spans="4:9" x14ac:dyDescent="0.25">
      <c r="D16" t="s">
        <v>20</v>
      </c>
      <c r="F16">
        <v>5</v>
      </c>
    </row>
  </sheetData>
  <mergeCells count="1">
    <mergeCell ref="D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Abdullah</dc:creator>
  <cp:lastModifiedBy>Abdullah Abdullah</cp:lastModifiedBy>
  <dcterms:created xsi:type="dcterms:W3CDTF">2026-06-12T02:42:19Z</dcterms:created>
  <dcterms:modified xsi:type="dcterms:W3CDTF">2026-06-12T03:42:59Z</dcterms:modified>
</cp:coreProperties>
</file>